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s003073\AppData\Local\Microsoft\Windows\INetCache\Content.Outlook\AMOGP2J8\"/>
    </mc:Choice>
  </mc:AlternateContent>
  <xr:revisionPtr revIDLastSave="0" documentId="8_{8339B00C-6FC7-4102-8844-6B52768B09FD}" xr6:coauthVersionLast="47" xr6:coauthVersionMax="47" xr10:uidLastSave="{00000000-0000-0000-0000-000000000000}"/>
  <bookViews>
    <workbookView xWindow="-110" yWindow="-110" windowWidth="19420" windowHeight="10300" xr2:uid="{0A2011C3-7386-4447-BB5E-2FB5CBEC47F3}"/>
  </bookViews>
  <sheets>
    <sheet name="Colour values" sheetId="1" r:id="rId1"/>
  </sheets>
  <definedNames>
    <definedName name="_xlnm.Print_Area" localSheetId="0">'Colour values'!$A$3:$S$16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Q15" i="1"/>
  <c r="Q14" i="1"/>
  <c r="Q13" i="1"/>
  <c r="P15" i="1"/>
  <c r="P14" i="1"/>
  <c r="P13" i="1"/>
  <c r="O15" i="1"/>
  <c r="O14" i="1"/>
  <c r="O13" i="1"/>
  <c r="N15" i="1"/>
  <c r="N14" i="1"/>
  <c r="M15" i="1"/>
  <c r="M14" i="1"/>
  <c r="N13" i="1"/>
  <c r="M13" i="1"/>
  <c r="R12" i="1"/>
  <c r="R11" i="1"/>
  <c r="R10" i="1"/>
  <c r="Q12" i="1"/>
  <c r="Q11" i="1"/>
  <c r="Q10" i="1"/>
  <c r="P12" i="1"/>
  <c r="P11" i="1"/>
  <c r="P10" i="1"/>
  <c r="O12" i="1"/>
  <c r="O11" i="1"/>
  <c r="O10" i="1"/>
  <c r="N12" i="1"/>
  <c r="M12" i="1"/>
  <c r="N11" i="1"/>
  <c r="M11" i="1"/>
  <c r="N10" i="1"/>
  <c r="M10" i="1"/>
  <c r="R9" i="1"/>
  <c r="R8" i="1"/>
  <c r="R7" i="1"/>
  <c r="Q9" i="1"/>
  <c r="Q8" i="1"/>
  <c r="Q7" i="1"/>
  <c r="P9" i="1"/>
  <c r="P8" i="1"/>
  <c r="P7" i="1"/>
  <c r="O9" i="1"/>
  <c r="O8" i="1"/>
  <c r="O7" i="1"/>
  <c r="N9" i="1"/>
  <c r="M9" i="1"/>
  <c r="N8" i="1"/>
  <c r="M8" i="1"/>
  <c r="N7" i="1"/>
  <c r="M7" i="1"/>
</calcChain>
</file>

<file path=xl/sharedStrings.xml><?xml version="1.0" encoding="utf-8"?>
<sst xmlns="http://schemas.openxmlformats.org/spreadsheetml/2006/main" count="94" uniqueCount="40">
  <si>
    <t>Model</t>
  </si>
  <si>
    <t>Color</t>
  </si>
  <si>
    <t>Angle</t>
  </si>
  <si>
    <t xml:space="preserve">MASTER PANEL  VALUE      </t>
  </si>
  <si>
    <t>Rank</t>
  </si>
  <si>
    <t>Tolerance values</t>
  </si>
  <si>
    <t xml:space="preserve">L </t>
  </si>
  <si>
    <t>A</t>
  </si>
  <si>
    <t>B</t>
  </si>
  <si>
    <r>
      <rPr>
        <b/>
        <sz val="10"/>
        <color theme="1"/>
        <rFont val="Symbol"/>
        <family val="1"/>
        <charset val="2"/>
      </rPr>
      <t>Ñ</t>
    </r>
    <r>
      <rPr>
        <b/>
        <sz val="10"/>
        <color theme="1"/>
        <rFont val="Meiryo"/>
        <family val="2"/>
        <charset val="128"/>
      </rPr>
      <t>L</t>
    </r>
  </si>
  <si>
    <r>
      <rPr>
        <b/>
        <sz val="10"/>
        <color theme="1"/>
        <rFont val="Symbol"/>
        <family val="1"/>
        <charset val="2"/>
      </rPr>
      <t>Ñ</t>
    </r>
    <r>
      <rPr>
        <b/>
        <sz val="10"/>
        <color theme="1"/>
        <rFont val="Meiryo"/>
        <family val="2"/>
        <charset val="128"/>
      </rPr>
      <t>A</t>
    </r>
  </si>
  <si>
    <r>
      <rPr>
        <b/>
        <sz val="10"/>
        <color theme="1"/>
        <rFont val="Symbol"/>
        <family val="1"/>
        <charset val="2"/>
      </rPr>
      <t>Ñ</t>
    </r>
    <r>
      <rPr>
        <b/>
        <sz val="10"/>
        <color theme="1"/>
        <rFont val="Meiryo"/>
        <family val="2"/>
        <charset val="128"/>
      </rPr>
      <t>B</t>
    </r>
  </si>
  <si>
    <t>T11S</t>
  </si>
  <si>
    <t>NH 904 M-METEOROID GRAY</t>
  </si>
  <si>
    <t>25°</t>
  </si>
  <si>
    <t>B rank</t>
  </si>
  <si>
    <t>± 6% (± 2.39)</t>
  </si>
  <si>
    <t>± 0.9</t>
  </si>
  <si>
    <t>45°</t>
  </si>
  <si>
    <t>± 1.5</t>
  </si>
  <si>
    <t>75°</t>
  </si>
  <si>
    <t>NH 883P PLATINUM WHITE</t>
  </si>
  <si>
    <t>S rank</t>
  </si>
  <si>
    <t>± 3% (± 2.67)</t>
  </si>
  <si>
    <t>± 0.45</t>
  </si>
  <si>
    <t>± 3% (± 2.48)</t>
  </si>
  <si>
    <t>± 3% (± 2.46)</t>
  </si>
  <si>
    <t>E rank</t>
  </si>
  <si>
    <t>± 4.5</t>
  </si>
  <si>
    <t>± 3.0</t>
  </si>
  <si>
    <t>NH731P-CRYSTAL BLACK</t>
  </si>
  <si>
    <t>Date:                                                            Time:</t>
  </si>
  <si>
    <t>Judgement
(Pass/ Fail)</t>
  </si>
  <si>
    <t>Operating Range</t>
  </si>
  <si>
    <t>From</t>
  </si>
  <si>
    <t>To</t>
  </si>
  <si>
    <t>Part 1</t>
  </si>
  <si>
    <t>Part 2</t>
  </si>
  <si>
    <t>Part 3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</si>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</sst>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Meiryo"/>
      <family val="2"/>
      <charset val="128"/>
    </font>
    <font>
      <b/>
      <sz val="10"/>
      <color theme="1"/>
      <name val="Meiryo"/>
      <family val="1"/>
      <charset val="2"/>
    </font>
    <font>
      <b/>
      <sz val="10"/>
      <color theme="1"/>
      <name val="Symbol"/>
      <family val="1"/>
      <charset val="2"/>
    </font>
    <font>
      <sz val="10"/>
      <color theme="1"/>
      <name val="Meiryo"/>
      <family val="2"/>
      <charset val="128"/>
    </font>
    <font>
      <b/>
      <sz val="12"/>
      <color theme="1"/>
      <name val="Calibri"/>
      <family val="2"/>
      <scheme val="minor"/>
    </font>
    <font>
      <sz val="12"/>
      <color theme="1"/>
      <name val="Meiryo"/>
      <family val="2"/>
      <charset val="128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2" fontId="4" fillId="0" borderId="7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10" xfId="0" applyNumberFormat="1" applyFont="1" applyFill="1" applyBorder="1" applyAlignment="1">
      <alignment horizontal="center" vertical="center"/>
    </xf>
    <xf numFmtId="2" fontId="4" fillId="4" borderId="7" xfId="0" applyNumberFormat="1" applyFont="1" applyFill="1" applyBorder="1" applyAlignment="1">
      <alignment horizontal="center" vertical="center"/>
    </xf>
    <xf numFmtId="2" fontId="4" fillId="4" borderId="10" xfId="0" applyNumberFormat="1" applyFont="1" applyFill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2" fontId="6" fillId="3" borderId="13" xfId="0" applyNumberFormat="1" applyFont="1" applyFill="1" applyBorder="1" applyAlignment="1">
      <alignment horizontal="center" vertical="center"/>
    </xf>
    <xf numFmtId="2" fontId="4" fillId="4" borderId="13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2" fontId="6" fillId="3" borderId="7" xfId="0" applyNumberFormat="1" applyFont="1" applyFill="1" applyBorder="1" applyAlignment="1">
      <alignment horizontal="center" vertical="center" wrapText="1"/>
    </xf>
    <xf numFmtId="2" fontId="6" fillId="3" borderId="10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2" fontId="4" fillId="0" borderId="14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9F55-2356-4E1E-8C2E-C54E98102028}">
  <sheetPr>
    <pageSetUpPr fitToPage="1"/>
  </sheetPr>
  <dimension ref="B2:AB15"/>
  <sheetViews>
    <sheetView tabSelected="1" topLeftCell="A13" zoomScale="77" zoomScaleNormal="51" workbookViewId="0">
      <selection activeCell="Q24" sqref="Q24"/>
    </sheetView>
  </sheetViews>
  <sheetFormatPr defaultRowHeight="14.5" x14ac:dyDescent="0.35"/>
  <cols>
    <col min="1" max="1" width="4.08984375" customWidth="1"/>
    <col min="2" max="2" width="11.36328125" customWidth="1"/>
    <col min="3" max="3" width="15.81640625" customWidth="1"/>
    <col min="4" max="7" width="11.36328125" customWidth="1"/>
    <col min="8" max="8" width="8" customWidth="1"/>
    <col min="9" max="9" width="11.36328125" customWidth="1"/>
    <col min="10" max="10" width="15.1796875" customWidth="1"/>
    <col min="11" max="27" width="11.36328125" customWidth="1"/>
    <col min="28" max="28" width="15.1796875" customWidth="1"/>
  </cols>
  <sheetData>
    <row r="2" spans="2:28" ht="15" thickBot="1" x14ac:dyDescent="0.4"/>
    <row r="3" spans="2:28" ht="16" thickBot="1" x14ac:dyDescent="0.4">
      <c r="S3" s="36" t="s">
        <v>31</v>
      </c>
      <c r="T3" s="37"/>
      <c r="U3" s="37"/>
      <c r="V3" s="37"/>
      <c r="W3" s="37"/>
      <c r="X3" s="37"/>
      <c r="Y3" s="37"/>
      <c r="Z3" s="37"/>
      <c r="AA3" s="38"/>
    </row>
    <row r="4" spans="2:28" ht="22.5" customHeight="1" x14ac:dyDescent="0.35">
      <c r="B4" s="29" t="s">
        <v>0</v>
      </c>
      <c r="C4" s="21" t="s">
        <v>1</v>
      </c>
      <c r="D4" s="21" t="s">
        <v>2</v>
      </c>
      <c r="E4" s="21" t="s">
        <v>3</v>
      </c>
      <c r="F4" s="21"/>
      <c r="G4" s="21"/>
      <c r="H4" s="21" t="s">
        <v>4</v>
      </c>
      <c r="I4" s="21" t="s">
        <v>2</v>
      </c>
      <c r="J4" s="21" t="s">
        <v>5</v>
      </c>
      <c r="K4" s="21"/>
      <c r="L4" s="21"/>
      <c r="M4" s="19" t="s">
        <v>33</v>
      </c>
      <c r="N4" s="19"/>
      <c r="O4" s="19"/>
      <c r="P4" s="19"/>
      <c r="Q4" s="19"/>
      <c r="R4" s="19"/>
      <c r="S4" s="45" t="s">
        <v>36</v>
      </c>
      <c r="T4" s="45"/>
      <c r="U4" s="45"/>
      <c r="V4" s="45" t="s">
        <v>37</v>
      </c>
      <c r="W4" s="45"/>
      <c r="X4" s="45"/>
      <c r="Y4" s="45" t="s">
        <v>38</v>
      </c>
      <c r="Z4" s="45"/>
      <c r="AA4" s="45"/>
      <c r="AB4" s="39" t="s">
        <v>32</v>
      </c>
    </row>
    <row r="5" spans="2:28" ht="26.4" customHeight="1" x14ac:dyDescent="0.35">
      <c r="B5" s="30"/>
      <c r="C5" s="22"/>
      <c r="D5" s="22"/>
      <c r="E5" s="22"/>
      <c r="F5" s="22"/>
      <c r="G5" s="22"/>
      <c r="H5" s="22"/>
      <c r="I5" s="22"/>
      <c r="J5" s="22"/>
      <c r="K5" s="22"/>
      <c r="L5" s="22"/>
      <c r="M5" s="20" t="s">
        <v>6</v>
      </c>
      <c r="N5" s="20"/>
      <c r="O5" s="20" t="s">
        <v>7</v>
      </c>
      <c r="P5" s="20"/>
      <c r="Q5" s="20" t="s">
        <v>8</v>
      </c>
      <c r="R5" s="20"/>
      <c r="S5" s="46"/>
      <c r="T5" s="46"/>
      <c r="U5" s="46"/>
      <c r="V5" s="46"/>
      <c r="W5" s="46"/>
      <c r="X5" s="46"/>
      <c r="Y5" s="46"/>
      <c r="Z5" s="46"/>
      <c r="AA5" s="46"/>
      <c r="AB5" s="40"/>
    </row>
    <row r="6" spans="2:28" ht="26.5" customHeight="1" thickBot="1" x14ac:dyDescent="0.4">
      <c r="B6" s="31"/>
      <c r="C6" s="32"/>
      <c r="D6" s="32"/>
      <c r="E6" s="3" t="s">
        <v>6</v>
      </c>
      <c r="F6" s="3" t="s">
        <v>7</v>
      </c>
      <c r="G6" s="3" t="s">
        <v>8</v>
      </c>
      <c r="H6" s="32"/>
      <c r="I6" s="32"/>
      <c r="J6" s="4" t="s">
        <v>9</v>
      </c>
      <c r="K6" s="4" t="s">
        <v>10</v>
      </c>
      <c r="L6" s="4" t="s">
        <v>11</v>
      </c>
      <c r="M6" s="15" t="s">
        <v>34</v>
      </c>
      <c r="N6" s="15" t="s">
        <v>35</v>
      </c>
      <c r="O6" s="15" t="s">
        <v>34</v>
      </c>
      <c r="P6" s="15" t="s">
        <v>35</v>
      </c>
      <c r="Q6" s="15" t="s">
        <v>34</v>
      </c>
      <c r="R6" s="15" t="s">
        <v>35</v>
      </c>
      <c r="S6" s="16" t="s">
        <v>6</v>
      </c>
      <c r="T6" s="16" t="s">
        <v>7</v>
      </c>
      <c r="U6" s="16" t="s">
        <v>8</v>
      </c>
      <c r="V6" s="16" t="s">
        <v>6</v>
      </c>
      <c r="W6" s="16" t="s">
        <v>7</v>
      </c>
      <c r="X6" s="16" t="s">
        <v>8</v>
      </c>
      <c r="Y6" s="16" t="s">
        <v>6</v>
      </c>
      <c r="Z6" s="16" t="s">
        <v>7</v>
      </c>
      <c r="AA6" s="16" t="s">
        <v>8</v>
      </c>
      <c r="AB6" s="41"/>
    </row>
    <row r="7" spans="2:28" ht="23" customHeight="1" x14ac:dyDescent="0.35">
      <c r="B7" s="23" t="s">
        <v>12</v>
      </c>
      <c r="C7" s="25" t="s">
        <v>13</v>
      </c>
      <c r="D7" s="12" t="s">
        <v>14</v>
      </c>
      <c r="E7" s="5">
        <v>32.926000000000002</v>
      </c>
      <c r="F7" s="5">
        <v>-2.2039999999999997</v>
      </c>
      <c r="G7" s="5">
        <v>-5.4039999999999999</v>
      </c>
      <c r="H7" s="27" t="s">
        <v>15</v>
      </c>
      <c r="I7" s="12" t="s">
        <v>14</v>
      </c>
      <c r="J7" s="5" t="s">
        <v>16</v>
      </c>
      <c r="K7" s="5" t="s">
        <v>17</v>
      </c>
      <c r="L7" s="5" t="s">
        <v>17</v>
      </c>
      <c r="M7" s="13">
        <f>E7-2.39</f>
        <v>30.536000000000001</v>
      </c>
      <c r="N7" s="13">
        <f>E7+2.39</f>
        <v>35.316000000000003</v>
      </c>
      <c r="O7" s="13">
        <f>F7-0.9</f>
        <v>-3.1039999999999996</v>
      </c>
      <c r="P7" s="13">
        <f>F7+0.9</f>
        <v>-1.3039999999999998</v>
      </c>
      <c r="Q7" s="13">
        <f t="shared" ref="Q7:Q12" si="0">G7-0.9</f>
        <v>-6.3040000000000003</v>
      </c>
      <c r="R7" s="13">
        <f t="shared" ref="R7:R12" si="1">G7+0.9</f>
        <v>-4.5039999999999996</v>
      </c>
      <c r="S7" s="14">
        <v>32.06</v>
      </c>
      <c r="T7" s="14">
        <v>-2.44</v>
      </c>
      <c r="U7" s="14">
        <v>4.5999999999999996</v>
      </c>
      <c r="V7" s="14">
        <v>32.53</v>
      </c>
      <c r="W7" s="14">
        <v>-2.29</v>
      </c>
      <c r="X7" s="14">
        <v>-4.7</v>
      </c>
      <c r="Y7" s="14">
        <v>32.79</v>
      </c>
      <c r="Z7" s="14">
        <v>-2.35</v>
      </c>
      <c r="AA7" s="14">
        <v>-4.58</v>
      </c>
      <c r="AB7" s="42" t="s">
        <v>39</v>
      </c>
    </row>
    <row r="8" spans="2:28" ht="23" customHeight="1" x14ac:dyDescent="0.35">
      <c r="B8" s="24"/>
      <c r="C8" s="26"/>
      <c r="D8" s="10" t="s">
        <v>18</v>
      </c>
      <c r="E8" s="1">
        <v>12.912000000000001</v>
      </c>
      <c r="F8" s="1">
        <v>-1.014</v>
      </c>
      <c r="G8" s="1">
        <v>-2.6339999999999999</v>
      </c>
      <c r="H8" s="28"/>
      <c r="I8" s="10" t="s">
        <v>18</v>
      </c>
      <c r="J8" s="1" t="s">
        <v>19</v>
      </c>
      <c r="K8" s="1" t="s">
        <v>17</v>
      </c>
      <c r="L8" s="1" t="s">
        <v>17</v>
      </c>
      <c r="M8" s="6">
        <f>E8-1.5</f>
        <v>11.412000000000001</v>
      </c>
      <c r="N8" s="6">
        <f>E8+1.5</f>
        <v>14.412000000000001</v>
      </c>
      <c r="O8" s="6">
        <f>F8-0.9</f>
        <v>-1.9140000000000001</v>
      </c>
      <c r="P8" s="6">
        <f>F8+0.9</f>
        <v>-0.11399999999999999</v>
      </c>
      <c r="Q8" s="6">
        <f t="shared" si="0"/>
        <v>-3.5339999999999998</v>
      </c>
      <c r="R8" s="6">
        <f t="shared" si="1"/>
        <v>-1.734</v>
      </c>
      <c r="S8" s="8">
        <v>11.14</v>
      </c>
      <c r="T8" s="8">
        <v>-0.78</v>
      </c>
      <c r="U8" s="8">
        <v>-3.08</v>
      </c>
      <c r="V8" s="8">
        <v>11.41</v>
      </c>
      <c r="W8" s="8">
        <v>-0.81</v>
      </c>
      <c r="X8" s="8">
        <v>-2.95</v>
      </c>
      <c r="Y8" s="8">
        <v>11.11</v>
      </c>
      <c r="Z8" s="8">
        <v>-0.77</v>
      </c>
      <c r="AA8" s="8">
        <v>-3.02</v>
      </c>
      <c r="AB8" s="43"/>
    </row>
    <row r="9" spans="2:28" ht="23" customHeight="1" x14ac:dyDescent="0.35">
      <c r="B9" s="24"/>
      <c r="C9" s="26"/>
      <c r="D9" s="10" t="s">
        <v>20</v>
      </c>
      <c r="E9" s="1">
        <v>5.6440000000000001</v>
      </c>
      <c r="F9" s="1">
        <v>-0.23799999999999999</v>
      </c>
      <c r="G9" s="1">
        <v>-0.57199999999999995</v>
      </c>
      <c r="H9" s="28"/>
      <c r="I9" s="10" t="s">
        <v>20</v>
      </c>
      <c r="J9" s="1" t="s">
        <v>19</v>
      </c>
      <c r="K9" s="1" t="s">
        <v>17</v>
      </c>
      <c r="L9" s="1" t="s">
        <v>17</v>
      </c>
      <c r="M9" s="6">
        <f>E9-1.5</f>
        <v>4.1440000000000001</v>
      </c>
      <c r="N9" s="6">
        <f>E9+1.5</f>
        <v>7.1440000000000001</v>
      </c>
      <c r="O9" s="6">
        <f>F9-0.9</f>
        <v>-1.1379999999999999</v>
      </c>
      <c r="P9" s="6">
        <f>F9+0.9</f>
        <v>0.66200000000000003</v>
      </c>
      <c r="Q9" s="6">
        <f t="shared" si="0"/>
        <v>-1.472</v>
      </c>
      <c r="R9" s="6">
        <f t="shared" si="1"/>
        <v>0.32800000000000007</v>
      </c>
      <c r="S9" s="8">
        <v>4.58</v>
      </c>
      <c r="T9" s="8">
        <v>0.04</v>
      </c>
      <c r="U9" s="8">
        <v>-1.17</v>
      </c>
      <c r="V9" s="8">
        <v>4.74</v>
      </c>
      <c r="W9" s="8">
        <v>0.02</v>
      </c>
      <c r="X9" s="8">
        <v>-1.2</v>
      </c>
      <c r="Y9" s="8">
        <v>4.6100000000000003</v>
      </c>
      <c r="Z9" s="8">
        <v>0.06</v>
      </c>
      <c r="AA9" s="8">
        <v>-1.29</v>
      </c>
      <c r="AB9" s="43"/>
    </row>
    <row r="10" spans="2:28" ht="23" customHeight="1" x14ac:dyDescent="0.35">
      <c r="B10" s="24" t="s">
        <v>12</v>
      </c>
      <c r="C10" s="26" t="s">
        <v>21</v>
      </c>
      <c r="D10" s="10" t="s">
        <v>14</v>
      </c>
      <c r="E10" s="1">
        <v>89.15</v>
      </c>
      <c r="F10" s="1">
        <v>-1.92</v>
      </c>
      <c r="G10" s="1">
        <v>1.1299999999999999</v>
      </c>
      <c r="H10" s="28" t="s">
        <v>22</v>
      </c>
      <c r="I10" s="10" t="s">
        <v>14</v>
      </c>
      <c r="J10" s="1" t="s">
        <v>23</v>
      </c>
      <c r="K10" s="1" t="s">
        <v>24</v>
      </c>
      <c r="L10" s="1" t="s">
        <v>17</v>
      </c>
      <c r="M10" s="6">
        <f>E10-2.67</f>
        <v>86.48</v>
      </c>
      <c r="N10" s="6">
        <f>E10+2.67</f>
        <v>91.820000000000007</v>
      </c>
      <c r="O10" s="6">
        <f>F10-0.45</f>
        <v>-2.37</v>
      </c>
      <c r="P10" s="6">
        <f>F10+0.45</f>
        <v>-1.47</v>
      </c>
      <c r="Q10" s="6">
        <f t="shared" si="0"/>
        <v>0.22999999999999987</v>
      </c>
      <c r="R10" s="6">
        <f t="shared" si="1"/>
        <v>2.0299999999999998</v>
      </c>
      <c r="S10" s="8">
        <v>90.29</v>
      </c>
      <c r="T10" s="8">
        <v>-1.85</v>
      </c>
      <c r="U10" s="8">
        <v>0.83</v>
      </c>
      <c r="V10" s="8">
        <v>89.96</v>
      </c>
      <c r="W10" s="8">
        <v>-1.89</v>
      </c>
      <c r="X10" s="8">
        <v>0.95</v>
      </c>
      <c r="Y10" s="8">
        <v>90.65</v>
      </c>
      <c r="Z10" s="8">
        <v>-1.89</v>
      </c>
      <c r="AA10" s="8">
        <v>0.65</v>
      </c>
      <c r="AB10" s="43" t="s">
        <v>39</v>
      </c>
    </row>
    <row r="11" spans="2:28" ht="23" customHeight="1" x14ac:dyDescent="0.35">
      <c r="B11" s="24"/>
      <c r="C11" s="26"/>
      <c r="D11" s="10" t="s">
        <v>18</v>
      </c>
      <c r="E11" s="1">
        <v>82.69</v>
      </c>
      <c r="F11" s="1">
        <v>-1.51</v>
      </c>
      <c r="G11" s="1">
        <v>2.92</v>
      </c>
      <c r="H11" s="28"/>
      <c r="I11" s="10" t="s">
        <v>18</v>
      </c>
      <c r="J11" s="1" t="s">
        <v>25</v>
      </c>
      <c r="K11" s="1" t="s">
        <v>24</v>
      </c>
      <c r="L11" s="1" t="s">
        <v>17</v>
      </c>
      <c r="M11" s="6">
        <f>E11-2.48</f>
        <v>80.209999999999994</v>
      </c>
      <c r="N11" s="6">
        <f>E11+2.48</f>
        <v>85.17</v>
      </c>
      <c r="O11" s="6">
        <f>F11-0.45</f>
        <v>-1.96</v>
      </c>
      <c r="P11" s="6">
        <f>F11+0.45</f>
        <v>-1.06</v>
      </c>
      <c r="Q11" s="6">
        <f t="shared" si="0"/>
        <v>2.02</v>
      </c>
      <c r="R11" s="6">
        <f t="shared" si="1"/>
        <v>3.82</v>
      </c>
      <c r="S11" s="8">
        <v>83.72</v>
      </c>
      <c r="T11" s="8">
        <v>-1.39</v>
      </c>
      <c r="U11" s="8">
        <v>2.7</v>
      </c>
      <c r="V11" s="8">
        <v>84.07</v>
      </c>
      <c r="W11" s="8">
        <v>-1.5</v>
      </c>
      <c r="X11" s="8">
        <v>2.68</v>
      </c>
      <c r="Y11" s="8">
        <v>83.62</v>
      </c>
      <c r="Z11" s="8">
        <v>-1.45</v>
      </c>
      <c r="AA11" s="8">
        <v>2.5099999999999998</v>
      </c>
      <c r="AB11" s="43"/>
    </row>
    <row r="12" spans="2:28" ht="23" customHeight="1" x14ac:dyDescent="0.35">
      <c r="B12" s="24"/>
      <c r="C12" s="26"/>
      <c r="D12" s="10" t="s">
        <v>20</v>
      </c>
      <c r="E12" s="1">
        <v>82.22</v>
      </c>
      <c r="F12" s="1">
        <v>-1.34</v>
      </c>
      <c r="G12" s="1">
        <v>2.86</v>
      </c>
      <c r="H12" s="28"/>
      <c r="I12" s="10" t="s">
        <v>20</v>
      </c>
      <c r="J12" s="1" t="s">
        <v>26</v>
      </c>
      <c r="K12" s="1" t="s">
        <v>24</v>
      </c>
      <c r="L12" s="1" t="s">
        <v>17</v>
      </c>
      <c r="M12" s="6">
        <f>E12-2.46</f>
        <v>79.760000000000005</v>
      </c>
      <c r="N12" s="6">
        <f>E12+2.46</f>
        <v>84.679999999999993</v>
      </c>
      <c r="O12" s="6">
        <f>F12-0.45</f>
        <v>-1.79</v>
      </c>
      <c r="P12" s="6">
        <f>F12+0.45</f>
        <v>-0.89000000000000012</v>
      </c>
      <c r="Q12" s="6">
        <f t="shared" si="0"/>
        <v>1.96</v>
      </c>
      <c r="R12" s="6">
        <f t="shared" si="1"/>
        <v>3.76</v>
      </c>
      <c r="S12" s="8">
        <v>83.17</v>
      </c>
      <c r="T12" s="8">
        <v>-1.29</v>
      </c>
      <c r="U12" s="8">
        <v>2.27</v>
      </c>
      <c r="V12" s="8">
        <v>83.97</v>
      </c>
      <c r="W12" s="8">
        <v>-1.38</v>
      </c>
      <c r="X12" s="8">
        <v>2.2000000000000002</v>
      </c>
      <c r="Y12" s="8">
        <v>83.56</v>
      </c>
      <c r="Z12" s="8">
        <v>-1.39</v>
      </c>
      <c r="AA12" s="8">
        <v>2.1800000000000002</v>
      </c>
      <c r="AB12" s="43"/>
    </row>
    <row r="13" spans="2:28" ht="23" customHeight="1" x14ac:dyDescent="0.35">
      <c r="B13" s="24" t="s">
        <v>12</v>
      </c>
      <c r="C13" s="26" t="s">
        <v>30</v>
      </c>
      <c r="D13" s="10" t="s">
        <v>14</v>
      </c>
      <c r="E13" s="1">
        <v>2.786</v>
      </c>
      <c r="F13" s="1">
        <v>7.5999999999999998E-2</v>
      </c>
      <c r="G13" s="1">
        <v>-1.538</v>
      </c>
      <c r="H13" s="28" t="s">
        <v>27</v>
      </c>
      <c r="I13" s="10" t="s">
        <v>14</v>
      </c>
      <c r="J13" s="1" t="s">
        <v>28</v>
      </c>
      <c r="K13" s="1" t="s">
        <v>29</v>
      </c>
      <c r="L13" s="1" t="s">
        <v>29</v>
      </c>
      <c r="M13" s="6">
        <f>E13-4.5</f>
        <v>-1.714</v>
      </c>
      <c r="N13" s="6">
        <f>E13+4.5</f>
        <v>7.2859999999999996</v>
      </c>
      <c r="O13" s="17">
        <f>F13-3</f>
        <v>-2.9239999999999999</v>
      </c>
      <c r="P13" s="17">
        <f>F13+3</f>
        <v>3.0760000000000001</v>
      </c>
      <c r="Q13" s="17">
        <f>G13-3</f>
        <v>-4.5380000000000003</v>
      </c>
      <c r="R13" s="17">
        <f>G13+3</f>
        <v>1.462</v>
      </c>
      <c r="S13" s="8">
        <v>2.35</v>
      </c>
      <c r="T13" s="8">
        <v>-0.02</v>
      </c>
      <c r="U13" s="8">
        <v>-0.41</v>
      </c>
      <c r="V13" s="8">
        <v>2.3199999999999998</v>
      </c>
      <c r="W13" s="8">
        <v>-0.01</v>
      </c>
      <c r="X13" s="8">
        <v>-0.38</v>
      </c>
      <c r="Y13" s="8">
        <v>2.2599999999999998</v>
      </c>
      <c r="Z13" s="8">
        <v>-7.0000000000000007E-2</v>
      </c>
      <c r="AA13" s="8">
        <v>-0.71</v>
      </c>
      <c r="AB13" s="43" t="s">
        <v>39</v>
      </c>
    </row>
    <row r="14" spans="2:28" ht="23" customHeight="1" x14ac:dyDescent="0.35">
      <c r="B14" s="24"/>
      <c r="C14" s="26"/>
      <c r="D14" s="10" t="s">
        <v>18</v>
      </c>
      <c r="E14" s="1">
        <v>1.6039999999999999</v>
      </c>
      <c r="F14" s="1">
        <v>0.26600000000000001</v>
      </c>
      <c r="G14" s="1">
        <v>-0.70200000000000007</v>
      </c>
      <c r="H14" s="28"/>
      <c r="I14" s="10" t="s">
        <v>18</v>
      </c>
      <c r="J14" s="1" t="s">
        <v>28</v>
      </c>
      <c r="K14" s="1" t="s">
        <v>29</v>
      </c>
      <c r="L14" s="1" t="s">
        <v>29</v>
      </c>
      <c r="M14" s="6">
        <f>E14-4.5</f>
        <v>-2.8959999999999999</v>
      </c>
      <c r="N14" s="6">
        <f>E14+4.5</f>
        <v>6.1040000000000001</v>
      </c>
      <c r="O14" s="17">
        <f>F14-3</f>
        <v>-2.734</v>
      </c>
      <c r="P14" s="17">
        <f>F14+3</f>
        <v>3.266</v>
      </c>
      <c r="Q14" s="17">
        <f>G14-3</f>
        <v>-3.702</v>
      </c>
      <c r="R14" s="17">
        <f>G14+3</f>
        <v>2.298</v>
      </c>
      <c r="S14" s="8">
        <v>2.14</v>
      </c>
      <c r="T14" s="8">
        <v>-0.03</v>
      </c>
      <c r="U14" s="8">
        <v>-0.44</v>
      </c>
      <c r="V14" s="8">
        <v>2.1</v>
      </c>
      <c r="W14" s="8">
        <v>0.01</v>
      </c>
      <c r="X14" s="8">
        <v>-0.44</v>
      </c>
      <c r="Y14" s="8">
        <v>2.06</v>
      </c>
      <c r="Z14" s="8">
        <v>-0.02</v>
      </c>
      <c r="AA14" s="8">
        <v>-0.52</v>
      </c>
      <c r="AB14" s="43"/>
    </row>
    <row r="15" spans="2:28" ht="23" customHeight="1" thickBot="1" x14ac:dyDescent="0.4">
      <c r="B15" s="33"/>
      <c r="C15" s="34"/>
      <c r="D15" s="11" t="s">
        <v>20</v>
      </c>
      <c r="E15" s="2">
        <v>1.544</v>
      </c>
      <c r="F15" s="2">
        <v>0.28000000000000003</v>
      </c>
      <c r="G15" s="2">
        <v>-0.56200000000000006</v>
      </c>
      <c r="H15" s="35"/>
      <c r="I15" s="11" t="s">
        <v>20</v>
      </c>
      <c r="J15" s="2" t="s">
        <v>28</v>
      </c>
      <c r="K15" s="2" t="s">
        <v>29</v>
      </c>
      <c r="L15" s="2" t="s">
        <v>29</v>
      </c>
      <c r="M15" s="7">
        <f>E15-4.5</f>
        <v>-2.956</v>
      </c>
      <c r="N15" s="7">
        <f>E15+4.5</f>
        <v>6.0440000000000005</v>
      </c>
      <c r="O15" s="18">
        <f>F15-3</f>
        <v>-2.7199999999999998</v>
      </c>
      <c r="P15" s="18">
        <f>F15+3</f>
        <v>3.2800000000000002</v>
      </c>
      <c r="Q15" s="18">
        <f>G15-3</f>
        <v>-3.5620000000000003</v>
      </c>
      <c r="R15" s="18">
        <f>G15+3</f>
        <v>2.4379999999999997</v>
      </c>
      <c r="S15" s="9">
        <v>2.52</v>
      </c>
      <c r="T15" s="9">
        <v>-0.06</v>
      </c>
      <c r="U15" s="9">
        <v>-0.5</v>
      </c>
      <c r="V15" s="9">
        <v>2.4700000000000002</v>
      </c>
      <c r="W15" s="9">
        <v>-0.04</v>
      </c>
      <c r="X15" s="9">
        <v>-0.56999999999999995</v>
      </c>
      <c r="Y15" s="9">
        <v>2.35</v>
      </c>
      <c r="Z15" s="9">
        <v>-0.05</v>
      </c>
      <c r="AA15" s="9">
        <v>-0.46</v>
      </c>
      <c r="AB15" s="44"/>
    </row>
  </sheetData>
  <sheetProtection selectLockedCells="1"/>
  <protectedRanges>
    <protectedRange algorithmName="SHA-512" hashValue="hFoS4SlAlJQ/8kRf6/UR5FFsXhsapWl/1av7wJYs+Y4F4ptY8tV4K7pK02sP7l0me/jQ2JG4tGXGKFySW6vMnQ==" saltValue="LIFaxf/3c/9f5UMQmaBYgA==" spinCount="100000" sqref="S7:AB15" name="Editable One"/>
    <protectedRange algorithmName="SHA-512" hashValue="hFoS4SlAlJQ/8kRf6/UR5FFsXhsapWl/1av7wJYs+Y4F4ptY8tV4K7pK02sP7l0me/jQ2JG4tGXGKFySW6vMnQ==" saltValue="LIFaxf/3c/9f5UMQmaBYgA==" spinCount="100000" sqref="M7:N9" name="Editable One_1"/>
    <protectedRange algorithmName="SHA-512" hashValue="hFoS4SlAlJQ/8kRf6/UR5FFsXhsapWl/1av7wJYs+Y4F4ptY8tV4K7pK02sP7l0me/jQ2JG4tGXGKFySW6vMnQ==" saltValue="LIFaxf/3c/9f5UMQmaBYgA==" spinCount="100000" sqref="O7:P9" name="Editable One_2"/>
    <protectedRange algorithmName="SHA-512" hashValue="hFoS4SlAlJQ/8kRf6/UR5FFsXhsapWl/1av7wJYs+Y4F4ptY8tV4K7pK02sP7l0me/jQ2JG4tGXGKFySW6vMnQ==" saltValue="LIFaxf/3c/9f5UMQmaBYgA==" spinCount="100000" sqref="Q7:R9" name="Editable One_3"/>
    <protectedRange algorithmName="SHA-512" hashValue="hFoS4SlAlJQ/8kRf6/UR5FFsXhsapWl/1av7wJYs+Y4F4ptY8tV4K7pK02sP7l0me/jQ2JG4tGXGKFySW6vMnQ==" saltValue="LIFaxf/3c/9f5UMQmaBYgA==" spinCount="100000" sqref="M10:R12" name="Editable One_4"/>
    <protectedRange algorithmName="SHA-512" hashValue="hFoS4SlAlJQ/8kRf6/UR5FFsXhsapWl/1av7wJYs+Y4F4ptY8tV4K7pK02sP7l0me/jQ2JG4tGXGKFySW6vMnQ==" saltValue="LIFaxf/3c/9f5UMQmaBYgA==" spinCount="100000" sqref="M13:R15" name="Editable One_5"/>
  </protectedRanges>
  <mergeCells count="28">
    <mergeCell ref="AB4:AB6"/>
    <mergeCell ref="AB7:AB9"/>
    <mergeCell ref="AB10:AB12"/>
    <mergeCell ref="AB13:AB15"/>
    <mergeCell ref="S4:U5"/>
    <mergeCell ref="Y4:AA5"/>
    <mergeCell ref="V4:X5"/>
    <mergeCell ref="I4:I6"/>
    <mergeCell ref="B13:B15"/>
    <mergeCell ref="C13:C15"/>
    <mergeCell ref="H13:H15"/>
    <mergeCell ref="S3:AA3"/>
    <mergeCell ref="B4:B6"/>
    <mergeCell ref="C4:C6"/>
    <mergeCell ref="D4:D6"/>
    <mergeCell ref="E4:G5"/>
    <mergeCell ref="H4:H6"/>
    <mergeCell ref="B7:B9"/>
    <mergeCell ref="C7:C9"/>
    <mergeCell ref="H7:H9"/>
    <mergeCell ref="B10:B12"/>
    <mergeCell ref="C10:C12"/>
    <mergeCell ref="H10:H12"/>
    <mergeCell ref="M4:R4"/>
    <mergeCell ref="Q5:R5"/>
    <mergeCell ref="O5:P5"/>
    <mergeCell ref="M5:N5"/>
    <mergeCell ref="J4:L5"/>
  </mergeCells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Colour values</vt:lpstr>
      <vt:lpstr>'Colour values'!Print_Area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Singh1</dc:creator>
  <cp:lastModifiedBy>Arpit Tayal</cp:lastModifiedBy>
  <dcterms:created xsi:type="dcterms:W3CDTF">2026-03-20T03:50:19Z</dcterms:created>
  <dcterms:modified xsi:type="dcterms:W3CDTF">2026-05-24T07:57:26Z</dcterms:modified>
</cp:coreProperties>
</file>